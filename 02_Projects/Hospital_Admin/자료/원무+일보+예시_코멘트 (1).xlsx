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C:\Users\barun\Documents\카카오톡 받은 파일\"/>
    </mc:Choice>
  </mc:AlternateContent>
  <xr:revisionPtr revIDLastSave="0" documentId="13_ncr:1_{3D6583FA-3DD0-424F-95D0-88840AAB98B8}" xr6:coauthVersionLast="46" xr6:coauthVersionMax="46" xr10:uidLastSave="{00000000-0000-0000-0000-000000000000}"/>
  <bookViews>
    <workbookView xWindow="28680" yWindow="-120" windowWidth="29040" windowHeight="15720" xr2:uid="{00000000-000D-0000-FFFF-FFFF00000000}"/>
  </bookViews>
  <sheets>
    <sheet name="10" sheetId="1" r:id="rId1"/>
  </sheets>
  <definedNames>
    <definedName name="_xlnm.Print_Area" localSheetId="0">'10'!$B$1:$J$70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48" i="1" l="1"/>
  <c r="X46" i="1"/>
  <c r="I67" i="1" l="1"/>
  <c r="H67" i="1"/>
  <c r="G67" i="1"/>
  <c r="J66" i="1"/>
  <c r="J65" i="1"/>
  <c r="J64" i="1"/>
  <c r="J63" i="1"/>
  <c r="J62" i="1"/>
  <c r="J61" i="1"/>
  <c r="J60" i="1"/>
  <c r="I28" i="1"/>
  <c r="H28" i="1"/>
  <c r="G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67" i="1" l="1"/>
  <c r="J28" i="1"/>
</calcChain>
</file>

<file path=xl/sharedStrings.xml><?xml version="1.0" encoding="utf-8"?>
<sst xmlns="http://schemas.openxmlformats.org/spreadsheetml/2006/main" count="138" uniqueCount="84">
  <si>
    <t>결제</t>
    <phoneticPr fontId="8" type="noConversion"/>
  </si>
  <si>
    <t>담당</t>
    <phoneticPr fontId="8" type="noConversion"/>
  </si>
  <si>
    <t>과장</t>
    <phoneticPr fontId="8" type="noConversion"/>
  </si>
  <si>
    <t>이사장</t>
    <phoneticPr fontId="8" type="noConversion"/>
  </si>
  <si>
    <t>김다영</t>
    <phoneticPr fontId="3" type="noConversion"/>
  </si>
  <si>
    <t>홍민자</t>
    <phoneticPr fontId="3" type="noConversion"/>
  </si>
  <si>
    <t xml:space="preserve">   원  무  일  보</t>
  </si>
  <si>
    <t>기준일:</t>
    <phoneticPr fontId="8" type="noConversion"/>
  </si>
  <si>
    <t>1. 입원수입</t>
    <phoneticPr fontId="8" type="noConversion"/>
  </si>
  <si>
    <t>성명</t>
    <phoneticPr fontId="8" type="noConversion"/>
  </si>
  <si>
    <t>발생월</t>
    <phoneticPr fontId="8" type="noConversion"/>
  </si>
  <si>
    <t>내역</t>
    <phoneticPr fontId="8" type="noConversion"/>
  </si>
  <si>
    <t>입원수입</t>
    <phoneticPr fontId="8" type="noConversion"/>
  </si>
  <si>
    <t>결제구분</t>
    <phoneticPr fontId="8" type="noConversion"/>
  </si>
  <si>
    <t>결제
계</t>
    <phoneticPr fontId="8" type="noConversion"/>
  </si>
  <si>
    <t>카드사</t>
    <phoneticPr fontId="8" type="noConversion"/>
  </si>
  <si>
    <t>신용카드</t>
    <phoneticPr fontId="8" type="noConversion"/>
  </si>
  <si>
    <t>계좌입금</t>
    <phoneticPr fontId="8" type="noConversion"/>
  </si>
  <si>
    <t>현금</t>
    <phoneticPr fontId="8" type="noConversion"/>
  </si>
  <si>
    <t>12776 김영호</t>
    <phoneticPr fontId="3" type="noConversion"/>
  </si>
  <si>
    <t>10월</t>
    <phoneticPr fontId="3" type="noConversion"/>
  </si>
  <si>
    <t>10월 입원</t>
    <phoneticPr fontId="3" type="noConversion"/>
  </si>
  <si>
    <t>현대</t>
    <phoneticPr fontId="3" type="noConversion"/>
  </si>
  <si>
    <t>15404 박수남</t>
    <phoneticPr fontId="3" type="noConversion"/>
  </si>
  <si>
    <t>농협</t>
    <phoneticPr fontId="3" type="noConversion"/>
  </si>
  <si>
    <t>13257 안종찬</t>
    <phoneticPr fontId="3" type="noConversion"/>
  </si>
  <si>
    <t>비씨</t>
    <phoneticPr fontId="3" type="noConversion"/>
  </si>
  <si>
    <t>14306 이귀화</t>
    <phoneticPr fontId="3" type="noConversion"/>
  </si>
  <si>
    <t xml:space="preserve">현대 </t>
    <phoneticPr fontId="3" type="noConversion"/>
  </si>
  <si>
    <t>14822 이영순</t>
    <phoneticPr fontId="3" type="noConversion"/>
  </si>
  <si>
    <t>11월</t>
    <phoneticPr fontId="3" type="noConversion"/>
  </si>
  <si>
    <t>11월 입원</t>
    <phoneticPr fontId="3" type="noConversion"/>
  </si>
  <si>
    <t>15638 정영화</t>
    <phoneticPr fontId="3" type="noConversion"/>
  </si>
  <si>
    <t>15630 조효진</t>
    <phoneticPr fontId="3" type="noConversion"/>
  </si>
  <si>
    <t>15581 지윤희</t>
    <phoneticPr fontId="3" type="noConversion"/>
  </si>
  <si>
    <t>10월,11월</t>
    <phoneticPr fontId="3" type="noConversion"/>
  </si>
  <si>
    <t>10월,11월  입원</t>
    <phoneticPr fontId="3" type="noConversion"/>
  </si>
  <si>
    <t>하나</t>
    <phoneticPr fontId="3" type="noConversion"/>
  </si>
  <si>
    <t>15693 한상호</t>
    <phoneticPr fontId="3" type="noConversion"/>
  </si>
  <si>
    <t>15540 박정아</t>
    <phoneticPr fontId="3" type="noConversion"/>
  </si>
  <si>
    <t>15706 김규화</t>
    <phoneticPr fontId="3" type="noConversion"/>
  </si>
  <si>
    <t>11946 김금환</t>
    <phoneticPr fontId="3" type="noConversion"/>
  </si>
  <si>
    <t>14032 김차순</t>
    <phoneticPr fontId="3" type="noConversion"/>
  </si>
  <si>
    <t>9203 임금하</t>
    <phoneticPr fontId="3" type="noConversion"/>
  </si>
  <si>
    <t>13015 이병은</t>
    <phoneticPr fontId="3" type="noConversion"/>
  </si>
  <si>
    <t>계</t>
  </si>
  <si>
    <t>특이사항</t>
    <phoneticPr fontId="3" type="noConversion"/>
  </si>
  <si>
    <t>15441 류한열</t>
  </si>
  <si>
    <t>김상희 입금</t>
    <phoneticPr fontId="3" type="noConversion"/>
  </si>
  <si>
    <t>외래수입</t>
    <phoneticPr fontId="8" type="noConversion"/>
  </si>
  <si>
    <t>계</t>
    <phoneticPr fontId="8" type="noConversion"/>
  </si>
  <si>
    <t>15527 문알렉산더</t>
    <phoneticPr fontId="3" type="noConversion"/>
  </si>
  <si>
    <t>11월 외래</t>
    <phoneticPr fontId="3" type="noConversion"/>
  </si>
  <si>
    <t>15872 김혜옥</t>
    <phoneticPr fontId="3" type="noConversion"/>
  </si>
  <si>
    <t>11월 외래(11/7 미수 포함)</t>
    <phoneticPr fontId="3" type="noConversion"/>
  </si>
  <si>
    <t>신한</t>
    <phoneticPr fontId="3" type="noConversion"/>
  </si>
  <si>
    <t>보훈요양원</t>
    <phoneticPr fontId="3" type="noConversion"/>
  </si>
  <si>
    <t>10월 의료비</t>
    <phoneticPr fontId="3" type="noConversion"/>
  </si>
  <si>
    <t>10월 촉탁비</t>
    <phoneticPr fontId="3" type="noConversion"/>
  </si>
  <si>
    <t>8286 박상혁</t>
    <phoneticPr fontId="3" type="noConversion"/>
  </si>
  <si>
    <t>15441 류한열</t>
    <phoneticPr fontId="3" type="noConversion"/>
  </si>
  <si>
    <t>11월 외래(10/28 미수)</t>
    <phoneticPr fontId="3" type="noConversion"/>
  </si>
  <si>
    <t>15502 김경미</t>
    <phoneticPr fontId="3" type="noConversion"/>
  </si>
  <si>
    <t>4. 외래수입</t>
    <phoneticPr fontId="8" type="noConversion"/>
  </si>
  <si>
    <t>2. 금액별 수납보고</t>
    <phoneticPr fontId="8" type="noConversion"/>
  </si>
  <si>
    <t>금일 수납액</t>
    <phoneticPr fontId="3" type="noConversion"/>
  </si>
  <si>
    <t>수납 총액 파이차트
= 수납총액 / 매출총액</t>
    <phoneticPr fontId="3" type="noConversion"/>
  </si>
  <si>
    <t>Memo</t>
    <phoneticPr fontId="3" type="noConversion"/>
  </si>
  <si>
    <t>2. 가능하다면 미수금에 대한 aging이 더 도움이 될 것으로 판단함.</t>
    <phoneticPr fontId="3" type="noConversion"/>
  </si>
  <si>
    <t xml:space="preserve">   장기미수금에 대한 관리목적.</t>
    <phoneticPr fontId="3" type="noConversion"/>
  </si>
  <si>
    <t>예시)</t>
    <phoneticPr fontId="3" type="noConversion"/>
  </si>
  <si>
    <t>M-3</t>
    <phoneticPr fontId="3" type="noConversion"/>
  </si>
  <si>
    <t>M-2</t>
    <phoneticPr fontId="3" type="noConversion"/>
  </si>
  <si>
    <t>M-1</t>
    <phoneticPr fontId="3" type="noConversion"/>
  </si>
  <si>
    <t>M</t>
    <phoneticPr fontId="3" type="noConversion"/>
  </si>
  <si>
    <t>미수금</t>
    <phoneticPr fontId="3" type="noConversion"/>
  </si>
  <si>
    <t>총액</t>
    <phoneticPr fontId="3" type="noConversion"/>
  </si>
  <si>
    <t>금일 수납액</t>
    <phoneticPr fontId="3" type="noConversion"/>
  </si>
  <si>
    <t>계</t>
    <phoneticPr fontId="3" type="noConversion"/>
  </si>
  <si>
    <t>원무과 부서내 특이사항이나 이슈에 대하여 별도로 코멘트 작성가능하도록 특이사항 란 추가.</t>
    <phoneticPr fontId="3" type="noConversion"/>
  </si>
  <si>
    <t>M+1</t>
    <phoneticPr fontId="3" type="noConversion"/>
  </si>
  <si>
    <t>1. 일별 수납금액에 대한 차트는 의미가 없을 것 같습니다.(수납총액에는 당월분, 전월분이 포함된 경우 있음)</t>
    <phoneticPr fontId="3" type="noConversion"/>
  </si>
  <si>
    <t>당월 매출 총액</t>
    <phoneticPr fontId="3" type="noConversion"/>
  </si>
  <si>
    <t>당월 수납 총액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</si>
</sst>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HY강B"/>
      <family val="1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name val="HY강B"/>
      <family val="1"/>
      <charset val="129"/>
    </font>
    <font>
      <sz val="11"/>
      <name val="굴림"/>
      <family val="3"/>
      <charset val="129"/>
    </font>
    <font>
      <sz val="12"/>
      <name val="HY강B"/>
      <family val="1"/>
      <charset val="129"/>
    </font>
    <font>
      <sz val="8"/>
      <name val="돋움"/>
      <family val="3"/>
      <charset val="129"/>
    </font>
    <font>
      <b/>
      <sz val="26"/>
      <color theme="1"/>
      <name val="HY강B"/>
      <family val="1"/>
      <charset val="129"/>
    </font>
    <font>
      <b/>
      <sz val="11"/>
      <color theme="1"/>
      <name val="HY강B"/>
      <family val="1"/>
      <charset val="129"/>
    </font>
    <font>
      <sz val="9"/>
      <name val="굴림"/>
      <family val="3"/>
      <charset val="129"/>
    </font>
    <font>
      <sz val="12"/>
      <color theme="1"/>
      <name val="HY강B"/>
      <family val="1"/>
      <charset val="129"/>
    </font>
    <font>
      <sz val="11"/>
      <color rgb="FFFF0000"/>
      <name val="굴림"/>
      <family val="3"/>
      <charset val="129"/>
    </font>
    <font>
      <sz val="9"/>
      <color rgb="FFFF0000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4659260841701"/>
        <bgColor indexed="64"/>
      </patternFill>
    </fill>
  </fills>
  <borders count="6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DotDot">
        <color auto="1"/>
      </left>
      <right/>
      <top style="mediumDashDotDot">
        <color auto="1"/>
      </top>
      <bottom/>
      <diagonal/>
    </border>
    <border>
      <left/>
      <right/>
      <top style="mediumDashDotDot">
        <color auto="1"/>
      </top>
      <bottom/>
      <diagonal/>
    </border>
    <border>
      <left/>
      <right style="mediumDashDotDot">
        <color auto="1"/>
      </right>
      <top style="mediumDashDotDot">
        <color auto="1"/>
      </top>
      <bottom/>
      <diagonal/>
    </border>
    <border>
      <left style="mediumDashDot">
        <color indexed="64"/>
      </left>
      <right/>
      <top/>
      <bottom/>
      <diagonal/>
    </border>
    <border>
      <left/>
      <right style="mediumDashDotDot">
        <color auto="1"/>
      </right>
      <top/>
      <bottom/>
      <diagonal/>
    </border>
    <border>
      <left style="mediumDashDotDot">
        <color auto="1"/>
      </left>
      <right/>
      <top/>
      <bottom/>
      <diagonal/>
    </border>
    <border>
      <left style="mediumDashDotDot">
        <color auto="1"/>
      </left>
      <right/>
      <top/>
      <bottom style="mediumDashDotDot">
        <color auto="1"/>
      </bottom>
      <diagonal/>
    </border>
    <border>
      <left/>
      <right/>
      <top/>
      <bottom style="mediumDashDotDot">
        <color auto="1"/>
      </bottom>
      <diagonal/>
    </border>
    <border>
      <left/>
      <right style="mediumDashDotDot">
        <color auto="1"/>
      </right>
      <top/>
      <bottom style="mediumDashDotDot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4" fillId="0" borderId="0"/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/>
  </cellStyleXfs>
  <cellXfs count="94">
    <xf numFmtId="0" fontId="0" fillId="0" borderId="0" xfId="0">
      <alignment vertical="center"/>
    </xf>
    <xf numFmtId="0" fontId="2" fillId="0" borderId="0" xfId="1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14" fontId="10" fillId="0" borderId="0" xfId="1" applyNumberFormat="1" applyFont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41" fontId="2" fillId="0" borderId="21" xfId="3" applyFont="1" applyFill="1" applyBorder="1" applyAlignment="1">
      <alignment horizontal="center" vertical="center" shrinkToFit="1"/>
    </xf>
    <xf numFmtId="41" fontId="2" fillId="0" borderId="22" xfId="3" applyFont="1" applyBorder="1" applyAlignment="1">
      <alignment horizontal="center" vertical="center" shrinkToFit="1"/>
    </xf>
    <xf numFmtId="41" fontId="2" fillId="0" borderId="23" xfId="3" applyFont="1" applyBorder="1" applyAlignment="1">
      <alignment horizontal="center" vertical="center" shrinkToFit="1"/>
    </xf>
    <xf numFmtId="41" fontId="5" fillId="0" borderId="20" xfId="2" applyNumberFormat="1" applyFont="1" applyBorder="1" applyAlignment="1">
      <alignment horizontal="center" vertical="center"/>
    </xf>
    <xf numFmtId="41" fontId="2" fillId="0" borderId="24" xfId="3" applyFont="1" applyFill="1" applyBorder="1" applyAlignment="1">
      <alignment horizontal="center" vertical="center" shrinkToFit="1"/>
    </xf>
    <xf numFmtId="41" fontId="2" fillId="0" borderId="25" xfId="3" applyFont="1" applyBorder="1" applyAlignment="1">
      <alignment horizontal="center" vertical="center" shrinkToFit="1"/>
    </xf>
    <xf numFmtId="41" fontId="2" fillId="0" borderId="26" xfId="3" applyFont="1" applyBorder="1" applyAlignment="1">
      <alignment horizontal="center" vertical="center" shrinkToFit="1"/>
    </xf>
    <xf numFmtId="41" fontId="2" fillId="0" borderId="27" xfId="3" applyFont="1" applyFill="1" applyBorder="1" applyAlignment="1">
      <alignment horizontal="center" vertical="center" shrinkToFit="1"/>
    </xf>
    <xf numFmtId="41" fontId="2" fillId="2" borderId="28" xfId="3" applyFont="1" applyFill="1" applyBorder="1" applyAlignment="1">
      <alignment horizontal="center" vertical="center" shrinkToFit="1"/>
    </xf>
    <xf numFmtId="41" fontId="2" fillId="0" borderId="28" xfId="3" applyFont="1" applyBorder="1" applyAlignment="1">
      <alignment horizontal="center" vertical="center" shrinkToFit="1"/>
    </xf>
    <xf numFmtId="0" fontId="11" fillId="0" borderId="0" xfId="2" applyFont="1" applyAlignment="1">
      <alignment horizontal="center" vertical="center"/>
    </xf>
    <xf numFmtId="41" fontId="11" fillId="0" borderId="0" xfId="4" applyFont="1" applyAlignment="1">
      <alignment horizontal="center" vertical="center"/>
    </xf>
    <xf numFmtId="41" fontId="2" fillId="0" borderId="8" xfId="3" applyFont="1" applyBorder="1" applyAlignment="1">
      <alignment horizontal="center" vertical="center" shrinkToFit="1"/>
    </xf>
    <xf numFmtId="41" fontId="2" fillId="3" borderId="29" xfId="3" applyFont="1" applyFill="1" applyBorder="1" applyAlignment="1">
      <alignment horizontal="center" vertical="center" shrinkToFit="1"/>
    </xf>
    <xf numFmtId="41" fontId="2" fillId="3" borderId="30" xfId="3" applyFont="1" applyFill="1" applyBorder="1" applyAlignment="1">
      <alignment horizontal="center" vertical="center" shrinkToFit="1"/>
    </xf>
    <xf numFmtId="41" fontId="2" fillId="3" borderId="31" xfId="3" applyFont="1" applyFill="1" applyBorder="1" applyAlignment="1">
      <alignment horizontal="center" vertical="center" shrinkToFit="1"/>
    </xf>
    <xf numFmtId="41" fontId="2" fillId="3" borderId="32" xfId="3" applyFont="1" applyFill="1" applyBorder="1" applyAlignment="1">
      <alignment horizontal="center" vertical="center" shrinkToFit="1"/>
    </xf>
    <xf numFmtId="41" fontId="2" fillId="3" borderId="33" xfId="3" applyFont="1" applyFill="1" applyBorder="1" applyAlignment="1">
      <alignment horizontal="center" vertical="center" shrinkToFit="1"/>
    </xf>
    <xf numFmtId="41" fontId="2" fillId="0" borderId="0" xfId="3" applyFont="1" applyFill="1" applyBorder="1" applyAlignment="1">
      <alignment horizontal="center" vertical="center" shrinkToFit="1"/>
    </xf>
    <xf numFmtId="41" fontId="2" fillId="2" borderId="0" xfId="3" applyFont="1" applyFill="1" applyBorder="1" applyAlignment="1">
      <alignment horizontal="center" vertical="center" shrinkToFit="1"/>
    </xf>
    <xf numFmtId="41" fontId="11" fillId="0" borderId="0" xfId="4" applyFont="1" applyFill="1" applyAlignment="1">
      <alignment horizontal="center" vertical="center"/>
    </xf>
    <xf numFmtId="41" fontId="2" fillId="0" borderId="34" xfId="3" applyFont="1" applyFill="1" applyBorder="1" applyAlignment="1">
      <alignment horizontal="center" vertical="center" shrinkToFit="1"/>
    </xf>
    <xf numFmtId="41" fontId="2" fillId="0" borderId="35" xfId="3" applyFont="1" applyFill="1" applyBorder="1" applyAlignment="1">
      <alignment horizontal="center" vertical="center" shrinkToFit="1"/>
    </xf>
    <xf numFmtId="0" fontId="5" fillId="0" borderId="36" xfId="2" applyFont="1" applyBorder="1" applyAlignment="1">
      <alignment horizontal="center" vertical="center"/>
    </xf>
    <xf numFmtId="41" fontId="2" fillId="0" borderId="37" xfId="3" applyFont="1" applyBorder="1" applyAlignment="1">
      <alignment horizontal="center" vertical="center" shrinkToFit="1"/>
    </xf>
    <xf numFmtId="0" fontId="5" fillId="0" borderId="38" xfId="2" applyFont="1" applyBorder="1" applyAlignment="1">
      <alignment horizontal="center" vertical="center"/>
    </xf>
    <xf numFmtId="41" fontId="2" fillId="0" borderId="39" xfId="3" applyFont="1" applyFill="1" applyBorder="1" applyAlignment="1">
      <alignment horizontal="center" vertical="center" shrinkToFit="1"/>
    </xf>
    <xf numFmtId="41" fontId="2" fillId="0" borderId="40" xfId="3" applyFont="1" applyFill="1" applyBorder="1" applyAlignment="1">
      <alignment horizontal="center" vertical="center" shrinkToFit="1"/>
    </xf>
    <xf numFmtId="41" fontId="2" fillId="0" borderId="41" xfId="3" applyFont="1" applyFill="1" applyBorder="1" applyAlignment="1">
      <alignment horizontal="center" vertical="center" shrinkToFit="1"/>
    </xf>
    <xf numFmtId="0" fontId="5" fillId="0" borderId="42" xfId="2" applyFont="1" applyBorder="1" applyAlignment="1">
      <alignment horizontal="center" vertical="center"/>
    </xf>
    <xf numFmtId="0" fontId="2" fillId="0" borderId="49" xfId="1" applyFont="1" applyBorder="1" applyAlignment="1">
      <alignment horizontal="center" vertical="center"/>
    </xf>
    <xf numFmtId="41" fontId="2" fillId="0" borderId="21" xfId="3" applyFont="1" applyBorder="1" applyAlignment="1">
      <alignment horizontal="center" vertical="center" shrinkToFit="1"/>
    </xf>
    <xf numFmtId="41" fontId="5" fillId="0" borderId="51" xfId="2" applyNumberFormat="1" applyFont="1" applyBorder="1" applyAlignment="1">
      <alignment horizontal="center" vertical="center"/>
    </xf>
    <xf numFmtId="41" fontId="2" fillId="0" borderId="27" xfId="3" applyFont="1" applyBorder="1" applyAlignment="1">
      <alignment horizontal="center" vertical="center" shrinkToFit="1"/>
    </xf>
    <xf numFmtId="41" fontId="5" fillId="0" borderId="28" xfId="3" applyFont="1" applyBorder="1" applyAlignment="1">
      <alignment horizontal="center" vertical="center" shrinkToFit="1"/>
    </xf>
    <xf numFmtId="41" fontId="2" fillId="0" borderId="53" xfId="3" applyFont="1" applyBorder="1" applyAlignment="1">
      <alignment horizontal="center" vertical="center" shrinkToFit="1"/>
    </xf>
    <xf numFmtId="41" fontId="2" fillId="0" borderId="54" xfId="3" applyFont="1" applyBorder="1" applyAlignment="1">
      <alignment horizontal="center" vertical="center" shrinkToFit="1"/>
    </xf>
    <xf numFmtId="0" fontId="6" fillId="0" borderId="55" xfId="2" applyFont="1" applyBorder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13" fillId="0" borderId="0" xfId="2" applyFont="1" applyAlignment="1">
      <alignment horizontal="left" vertical="center"/>
    </xf>
    <xf numFmtId="0" fontId="13" fillId="0" borderId="0" xfId="2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9" fillId="0" borderId="15" xfId="1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 wrapText="1"/>
    </xf>
    <xf numFmtId="0" fontId="5" fillId="0" borderId="20" xfId="2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47" xfId="1" applyFont="1" applyBorder="1" applyAlignment="1">
      <alignment horizontal="center" vertical="center"/>
    </xf>
    <xf numFmtId="0" fontId="2" fillId="0" borderId="43" xfId="1" applyFont="1" applyBorder="1" applyAlignment="1">
      <alignment horizontal="center" vertical="center"/>
    </xf>
    <xf numFmtId="0" fontId="2" fillId="0" borderId="48" xfId="1" applyFont="1" applyBorder="1" applyAlignment="1">
      <alignment horizontal="center" vertical="center"/>
    </xf>
    <xf numFmtId="0" fontId="12" fillId="0" borderId="44" xfId="1" applyFont="1" applyBorder="1" applyAlignment="1">
      <alignment horizontal="center" vertical="center"/>
    </xf>
    <xf numFmtId="0" fontId="12" fillId="0" borderId="45" xfId="1" applyFont="1" applyBorder="1" applyAlignment="1">
      <alignment horizontal="center" vertical="center"/>
    </xf>
    <xf numFmtId="0" fontId="5" fillId="0" borderId="46" xfId="2" applyFont="1" applyBorder="1" applyAlignment="1">
      <alignment horizontal="center" vertical="center"/>
    </xf>
    <xf numFmtId="0" fontId="5" fillId="0" borderId="50" xfId="2" applyFont="1" applyBorder="1" applyAlignment="1">
      <alignment horizontal="center" vertical="center"/>
    </xf>
    <xf numFmtId="41" fontId="2" fillId="0" borderId="56" xfId="3" applyFont="1" applyFill="1" applyBorder="1" applyAlignment="1">
      <alignment horizontal="center" vertical="center" shrinkToFit="1"/>
    </xf>
    <xf numFmtId="41" fontId="2" fillId="0" borderId="55" xfId="3" applyFont="1" applyFill="1" applyBorder="1" applyAlignment="1">
      <alignment horizontal="center" vertical="center" shrinkToFit="1"/>
    </xf>
    <xf numFmtId="0" fontId="2" fillId="0" borderId="16" xfId="1" applyFont="1" applyBorder="1" applyAlignment="1">
      <alignment horizontal="center" vertical="center"/>
    </xf>
    <xf numFmtId="0" fontId="2" fillId="0" borderId="18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19" xfId="1" applyFont="1" applyBorder="1" applyAlignment="1">
      <alignment horizontal="center" vertical="center"/>
    </xf>
    <xf numFmtId="41" fontId="2" fillId="0" borderId="52" xfId="3" applyFont="1" applyBorder="1" applyAlignment="1">
      <alignment horizontal="center" vertical="center" shrinkToFit="1"/>
    </xf>
    <xf numFmtId="41" fontId="2" fillId="0" borderId="24" xfId="3" applyFont="1" applyBorder="1" applyAlignment="1">
      <alignment horizontal="center" vertical="center" shrinkToFit="1"/>
    </xf>
    <xf numFmtId="0" fontId="2" fillId="0" borderId="0" xfId="1" applyFont="1" applyAlignment="1">
      <alignment horizontal="center" vertical="center"/>
    </xf>
    <xf numFmtId="41" fontId="2" fillId="0" borderId="45" xfId="3" applyFont="1" applyFill="1" applyBorder="1" applyAlignment="1">
      <alignment horizontal="center" vertical="center" shrinkToFit="1"/>
    </xf>
    <xf numFmtId="41" fontId="2" fillId="0" borderId="0" xfId="3" applyFont="1" applyFill="1" applyBorder="1" applyAlignment="1">
      <alignment horizontal="center" vertical="center" shrinkToFit="1"/>
    </xf>
    <xf numFmtId="41" fontId="2" fillId="0" borderId="55" xfId="3" applyFont="1" applyFill="1" applyBorder="1" applyAlignment="1">
      <alignment horizontal="center" vertical="center" wrapText="1" shrinkToFit="1"/>
    </xf>
    <xf numFmtId="41" fontId="2" fillId="0" borderId="59" xfId="3" applyFont="1" applyFill="1" applyBorder="1" applyAlignment="1">
      <alignment horizontal="center" vertical="center" shrinkToFit="1"/>
    </xf>
    <xf numFmtId="41" fontId="2" fillId="0" borderId="60" xfId="3" applyFont="1" applyFill="1" applyBorder="1" applyAlignment="1">
      <alignment horizontal="center" vertical="center" shrinkToFit="1"/>
    </xf>
    <xf numFmtId="41" fontId="2" fillId="0" borderId="45" xfId="3" applyFont="1" applyFill="1" applyBorder="1" applyAlignment="1">
      <alignment vertical="center" shrinkToFit="1"/>
    </xf>
    <xf numFmtId="41" fontId="2" fillId="0" borderId="57" xfId="3" applyFont="1" applyFill="1" applyBorder="1" applyAlignment="1">
      <alignment vertical="center" shrinkToFit="1"/>
    </xf>
    <xf numFmtId="41" fontId="2" fillId="0" borderId="0" xfId="3" applyFont="1" applyFill="1" applyBorder="1" applyAlignment="1">
      <alignment vertical="center" shrinkToFit="1"/>
    </xf>
    <xf numFmtId="41" fontId="2" fillId="0" borderId="58" xfId="3" applyFont="1" applyFill="1" applyBorder="1" applyAlignment="1">
      <alignment vertical="center" shrinkToFit="1"/>
    </xf>
    <xf numFmtId="41" fontId="2" fillId="0" borderId="60" xfId="3" applyFont="1" applyFill="1" applyBorder="1" applyAlignment="1">
      <alignment vertical="center" shrinkToFit="1"/>
    </xf>
    <xf numFmtId="41" fontId="2" fillId="0" borderId="61" xfId="3" applyFont="1" applyFill="1" applyBorder="1" applyAlignment="1">
      <alignment vertical="center" shrinkToFit="1"/>
    </xf>
  </cellXfs>
  <cellStyles count="5">
    <cellStyle name="쉼표 [0] 2" xfId="4" xr:uid="{00000000-0005-0000-0000-000000000000}"/>
    <cellStyle name="쉼표 [0] 2 2" xfId="3" xr:uid="{00000000-0005-0000-0000-000001000000}"/>
    <cellStyle name="표준" xfId="0" builtinId="0"/>
    <cellStyle name="표준 2" xfId="2" xr:uid="{00000000-0005-0000-0000-000003000000}"/>
    <cellStyle name="표준 2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E79"/>
  <sheetViews>
    <sheetView tabSelected="1" topLeftCell="A10" zoomScale="85" zoomScaleNormal="85" workbookViewId="0">
      <selection activeCell="S13" sqref="S13"/>
    </sheetView>
  </sheetViews>
  <sheetFormatPr defaultRowHeight="13.5"/>
  <cols>
    <col min="1" max="1" width="2.5" style="3" customWidth="1"/>
    <col min="2" max="2" width="12.875" style="2" customWidth="1"/>
    <col min="3" max="3" width="13.375" style="2" customWidth="1"/>
    <col min="4" max="4" width="13.75" style="2" customWidth="1"/>
    <col min="5" max="5" width="12.75" style="2" customWidth="1"/>
    <col min="6" max="6" width="10.875" style="2" customWidth="1"/>
    <col min="7" max="7" width="18.625" style="2" customWidth="1"/>
    <col min="8" max="8" width="12.625" style="2" customWidth="1"/>
    <col min="9" max="9" width="12.375" style="2" customWidth="1"/>
    <col min="10" max="10" width="13.625" style="2" customWidth="1"/>
    <col min="11" max="16" width="4.25" style="3" customWidth="1"/>
    <col min="17" max="17" width="16.75" style="49" customWidth="1"/>
    <col min="18" max="22" width="4.25" style="50" customWidth="1"/>
    <col min="23" max="24" width="4.25" style="51" customWidth="1"/>
    <col min="25" max="29" width="4.25" style="20" customWidth="1"/>
    <col min="30" max="30" width="4.25" style="21" customWidth="1"/>
    <col min="31" max="40" width="4.25" style="3" customWidth="1"/>
    <col min="41" max="16384" width="9" style="3"/>
  </cols>
  <sheetData>
    <row r="1" spans="2:10" ht="18" customHeight="1" thickBot="1">
      <c r="B1" s="1"/>
      <c r="C1" s="1"/>
      <c r="D1" s="1"/>
      <c r="E1" s="1"/>
      <c r="F1" s="1"/>
      <c r="G1" s="1"/>
      <c r="H1" s="1"/>
      <c r="I1" s="1"/>
    </row>
    <row r="2" spans="2:10" ht="18" customHeight="1">
      <c r="B2" s="1"/>
      <c r="C2" s="1"/>
      <c r="D2" s="1"/>
      <c r="E2" s="1"/>
      <c r="F2" s="1"/>
      <c r="G2" s="52" t="s">
        <v>0</v>
      </c>
      <c r="H2" s="4" t="s">
        <v>1</v>
      </c>
      <c r="I2" s="5" t="s">
        <v>2</v>
      </c>
      <c r="J2" s="6" t="s">
        <v>3</v>
      </c>
    </row>
    <row r="3" spans="2:10" ht="18" customHeight="1">
      <c r="B3" s="1"/>
      <c r="C3" s="1"/>
      <c r="D3" s="1"/>
      <c r="E3" s="1"/>
      <c r="F3" s="1"/>
      <c r="G3" s="53"/>
      <c r="H3" s="55" t="s">
        <v>4</v>
      </c>
      <c r="I3" s="55" t="s">
        <v>5</v>
      </c>
      <c r="J3" s="58"/>
    </row>
    <row r="4" spans="2:10" ht="8.25" customHeight="1">
      <c r="B4" s="1"/>
      <c r="C4" s="1"/>
      <c r="D4" s="1"/>
      <c r="E4" s="1"/>
      <c r="F4" s="1"/>
      <c r="G4" s="53"/>
      <c r="H4" s="56"/>
      <c r="I4" s="56"/>
      <c r="J4" s="59"/>
    </row>
    <row r="5" spans="2:10" ht="6.75" customHeight="1" thickBot="1">
      <c r="B5" s="1"/>
      <c r="C5" s="1"/>
      <c r="D5" s="1"/>
      <c r="E5" s="1"/>
      <c r="F5" s="1"/>
      <c r="G5" s="54"/>
      <c r="H5" s="57"/>
      <c r="I5" s="57"/>
      <c r="J5" s="60"/>
    </row>
    <row r="6" spans="2:10" ht="18" customHeight="1" thickBot="1">
      <c r="B6" s="1"/>
      <c r="C6" s="1"/>
      <c r="D6" s="1"/>
      <c r="E6" s="1"/>
      <c r="F6" s="1"/>
      <c r="G6" s="1"/>
      <c r="H6" s="1"/>
      <c r="I6" s="1"/>
    </row>
    <row r="7" spans="2:10" ht="36.75" customHeight="1" thickBot="1">
      <c r="B7" s="61" t="s">
        <v>6</v>
      </c>
      <c r="C7" s="62"/>
      <c r="D7" s="62"/>
      <c r="E7" s="62"/>
      <c r="F7" s="62"/>
      <c r="G7" s="62"/>
      <c r="H7" s="62"/>
      <c r="I7" s="62"/>
      <c r="J7" s="63"/>
    </row>
    <row r="8" spans="2:10" ht="18" customHeight="1" thickTop="1">
      <c r="B8" s="7" t="s">
        <v>7</v>
      </c>
      <c r="C8" s="8">
        <v>45971</v>
      </c>
      <c r="D8" s="7"/>
      <c r="E8" s="7"/>
      <c r="F8" s="1"/>
      <c r="G8" s="1"/>
      <c r="H8" s="1"/>
      <c r="I8" s="1"/>
    </row>
    <row r="9" spans="2:10" ht="18" customHeight="1">
      <c r="B9" s="7"/>
      <c r="C9" s="8"/>
      <c r="D9" s="7"/>
      <c r="E9" s="7"/>
      <c r="F9" s="1"/>
      <c r="G9" s="1"/>
      <c r="H9" s="1"/>
      <c r="I9" s="1"/>
    </row>
    <row r="10" spans="2:10" ht="18" customHeight="1" thickBot="1">
      <c r="B10" s="7" t="s">
        <v>8</v>
      </c>
      <c r="C10" s="7"/>
      <c r="D10" s="1"/>
      <c r="E10" s="1"/>
      <c r="F10" s="1"/>
      <c r="G10" s="1"/>
      <c r="H10" s="1"/>
      <c r="I10" s="1"/>
    </row>
    <row r="11" spans="2:10" ht="18" customHeight="1">
      <c r="B11" s="76" t="s">
        <v>9</v>
      </c>
      <c r="C11" s="78" t="s">
        <v>10</v>
      </c>
      <c r="D11" s="78" t="s">
        <v>11</v>
      </c>
      <c r="E11" s="78" t="s">
        <v>12</v>
      </c>
      <c r="F11" s="78" t="s">
        <v>13</v>
      </c>
      <c r="G11" s="78"/>
      <c r="H11" s="78"/>
      <c r="I11" s="78"/>
      <c r="J11" s="64" t="s">
        <v>14</v>
      </c>
    </row>
    <row r="12" spans="2:10" ht="18" customHeight="1">
      <c r="B12" s="77"/>
      <c r="C12" s="79"/>
      <c r="D12" s="79"/>
      <c r="E12" s="79"/>
      <c r="F12" s="9" t="s">
        <v>15</v>
      </c>
      <c r="G12" s="9" t="s">
        <v>16</v>
      </c>
      <c r="H12" s="9" t="s">
        <v>17</v>
      </c>
      <c r="I12" s="9" t="s">
        <v>18</v>
      </c>
      <c r="J12" s="65"/>
    </row>
    <row r="13" spans="2:10" ht="18" customHeight="1">
      <c r="B13" s="10" t="s">
        <v>19</v>
      </c>
      <c r="C13" s="11" t="s">
        <v>20</v>
      </c>
      <c r="D13" s="11" t="s">
        <v>21</v>
      </c>
      <c r="E13" s="11">
        <v>700320</v>
      </c>
      <c r="F13" s="11" t="s">
        <v>22</v>
      </c>
      <c r="G13" s="11">
        <v>700320</v>
      </c>
      <c r="H13" s="11"/>
      <c r="I13" s="12"/>
      <c r="J13" s="13">
        <f>G13+H13+I13</f>
        <v>700320</v>
      </c>
    </row>
    <row r="14" spans="2:10" ht="18" customHeight="1">
      <c r="B14" s="14" t="s">
        <v>23</v>
      </c>
      <c r="C14" s="15" t="s">
        <v>20</v>
      </c>
      <c r="D14" s="15" t="s">
        <v>21</v>
      </c>
      <c r="E14" s="15">
        <v>698670</v>
      </c>
      <c r="F14" s="15" t="s">
        <v>24</v>
      </c>
      <c r="G14" s="15">
        <v>698670</v>
      </c>
      <c r="H14" s="15"/>
      <c r="I14" s="16"/>
      <c r="J14" s="13">
        <f t="shared" ref="J14:J27" si="0">G14+H14+I14</f>
        <v>698670</v>
      </c>
    </row>
    <row r="15" spans="2:10" ht="18" customHeight="1">
      <c r="B15" s="17" t="s">
        <v>25</v>
      </c>
      <c r="C15" s="15" t="s">
        <v>20</v>
      </c>
      <c r="D15" s="15" t="s">
        <v>21</v>
      </c>
      <c r="E15" s="18">
        <v>1211990</v>
      </c>
      <c r="F15" s="19" t="s">
        <v>26</v>
      </c>
      <c r="G15" s="19">
        <v>1211990</v>
      </c>
      <c r="H15" s="18"/>
      <c r="I15" s="16"/>
      <c r="J15" s="13">
        <f t="shared" si="0"/>
        <v>1211990</v>
      </c>
    </row>
    <row r="16" spans="2:10" ht="18" customHeight="1">
      <c r="B16" s="17" t="s">
        <v>27</v>
      </c>
      <c r="C16" s="15" t="s">
        <v>20</v>
      </c>
      <c r="D16" s="15" t="s">
        <v>21</v>
      </c>
      <c r="E16" s="18">
        <v>639670</v>
      </c>
      <c r="F16" s="19" t="s">
        <v>28</v>
      </c>
      <c r="G16" s="19">
        <v>639670</v>
      </c>
      <c r="H16" s="16"/>
      <c r="I16" s="16"/>
      <c r="J16" s="13">
        <f t="shared" si="0"/>
        <v>639670</v>
      </c>
    </row>
    <row r="17" spans="2:30" ht="18" customHeight="1">
      <c r="B17" s="17" t="s">
        <v>29</v>
      </c>
      <c r="C17" s="19" t="s">
        <v>30</v>
      </c>
      <c r="D17" s="19" t="s">
        <v>31</v>
      </c>
      <c r="E17" s="18">
        <v>305450</v>
      </c>
      <c r="F17" s="19" t="s">
        <v>24</v>
      </c>
      <c r="G17" s="19">
        <v>305450</v>
      </c>
      <c r="H17" s="16"/>
      <c r="I17" s="16"/>
      <c r="J17" s="13">
        <f t="shared" si="0"/>
        <v>305450</v>
      </c>
    </row>
    <row r="18" spans="2:30" ht="18" customHeight="1">
      <c r="B18" s="17" t="s">
        <v>32</v>
      </c>
      <c r="C18" s="19" t="s">
        <v>30</v>
      </c>
      <c r="D18" s="19" t="s">
        <v>31</v>
      </c>
      <c r="E18" s="18">
        <v>364540</v>
      </c>
      <c r="F18" s="19" t="s">
        <v>24</v>
      </c>
      <c r="G18" s="19">
        <v>364540</v>
      </c>
      <c r="H18" s="16"/>
      <c r="I18" s="16"/>
      <c r="J18" s="13">
        <f t="shared" si="0"/>
        <v>364540</v>
      </c>
    </row>
    <row r="19" spans="2:30" ht="18" customHeight="1">
      <c r="B19" s="17" t="s">
        <v>33</v>
      </c>
      <c r="C19" s="19" t="s">
        <v>30</v>
      </c>
      <c r="D19" s="19" t="s">
        <v>31</v>
      </c>
      <c r="E19" s="18">
        <v>142770</v>
      </c>
      <c r="F19" s="19" t="s">
        <v>24</v>
      </c>
      <c r="G19" s="19">
        <v>142770</v>
      </c>
      <c r="H19" s="16"/>
      <c r="I19" s="16"/>
      <c r="J19" s="13">
        <f t="shared" si="0"/>
        <v>142770</v>
      </c>
    </row>
    <row r="20" spans="2:30" ht="18" customHeight="1">
      <c r="B20" s="17" t="s">
        <v>34</v>
      </c>
      <c r="C20" s="19" t="s">
        <v>35</v>
      </c>
      <c r="D20" s="19" t="s">
        <v>36</v>
      </c>
      <c r="E20" s="18">
        <v>1150470</v>
      </c>
      <c r="F20" s="19" t="s">
        <v>37</v>
      </c>
      <c r="G20" s="19">
        <v>1150470</v>
      </c>
      <c r="H20" s="16"/>
      <c r="I20" s="16"/>
      <c r="J20" s="13">
        <f t="shared" si="0"/>
        <v>1150470</v>
      </c>
    </row>
    <row r="21" spans="2:30" ht="18" customHeight="1">
      <c r="B21" s="17" t="s">
        <v>38</v>
      </c>
      <c r="C21" s="19" t="s">
        <v>20</v>
      </c>
      <c r="D21" s="19" t="s">
        <v>21</v>
      </c>
      <c r="E21" s="18">
        <v>1282110</v>
      </c>
      <c r="F21" s="19"/>
      <c r="G21" s="19"/>
      <c r="H21" s="22"/>
      <c r="I21" s="18">
        <v>1282110</v>
      </c>
      <c r="J21" s="13">
        <f t="shared" si="0"/>
        <v>1282110</v>
      </c>
    </row>
    <row r="22" spans="2:30" ht="18" customHeight="1">
      <c r="B22" s="17" t="s">
        <v>39</v>
      </c>
      <c r="C22" s="19" t="s">
        <v>30</v>
      </c>
      <c r="D22" s="19" t="s">
        <v>31</v>
      </c>
      <c r="E22" s="18">
        <v>4660</v>
      </c>
      <c r="F22" s="19"/>
      <c r="G22" s="19"/>
      <c r="H22" s="22"/>
      <c r="I22" s="18">
        <v>4660</v>
      </c>
      <c r="J22" s="13">
        <f t="shared" si="0"/>
        <v>4660</v>
      </c>
    </row>
    <row r="23" spans="2:30" ht="18" customHeight="1">
      <c r="B23" s="17" t="s">
        <v>40</v>
      </c>
      <c r="C23" s="19" t="s">
        <v>20</v>
      </c>
      <c r="D23" s="19" t="s">
        <v>21</v>
      </c>
      <c r="E23" s="18">
        <v>1767500</v>
      </c>
      <c r="F23" s="19"/>
      <c r="G23" s="19"/>
      <c r="H23" s="18">
        <v>1767500</v>
      </c>
      <c r="I23" s="16"/>
      <c r="J23" s="13">
        <f t="shared" si="0"/>
        <v>1767500</v>
      </c>
    </row>
    <row r="24" spans="2:30" ht="18" customHeight="1">
      <c r="B24" s="17" t="s">
        <v>41</v>
      </c>
      <c r="C24" s="19" t="s">
        <v>20</v>
      </c>
      <c r="D24" s="19" t="s">
        <v>21</v>
      </c>
      <c r="E24" s="18">
        <v>1514190</v>
      </c>
      <c r="F24" s="19"/>
      <c r="G24" s="19"/>
      <c r="H24" s="18">
        <v>1514190</v>
      </c>
      <c r="I24" s="16"/>
      <c r="J24" s="13">
        <f t="shared" si="0"/>
        <v>1514190</v>
      </c>
    </row>
    <row r="25" spans="2:30" ht="18" customHeight="1">
      <c r="B25" s="17" t="s">
        <v>42</v>
      </c>
      <c r="C25" s="19" t="s">
        <v>20</v>
      </c>
      <c r="D25" s="19" t="s">
        <v>21</v>
      </c>
      <c r="E25" s="18">
        <v>1067570</v>
      </c>
      <c r="F25" s="19"/>
      <c r="G25" s="19"/>
      <c r="H25" s="18">
        <v>1067570</v>
      </c>
      <c r="I25" s="16"/>
      <c r="J25" s="13">
        <f t="shared" si="0"/>
        <v>1067570</v>
      </c>
    </row>
    <row r="26" spans="2:30" ht="18" customHeight="1">
      <c r="B26" s="17" t="s">
        <v>43</v>
      </c>
      <c r="C26" s="19" t="s">
        <v>20</v>
      </c>
      <c r="D26" s="19" t="s">
        <v>21</v>
      </c>
      <c r="E26" s="18">
        <v>703680</v>
      </c>
      <c r="F26" s="19"/>
      <c r="G26" s="19"/>
      <c r="H26" s="18">
        <v>703680</v>
      </c>
      <c r="I26" s="16"/>
      <c r="J26" s="13">
        <f t="shared" si="0"/>
        <v>703680</v>
      </c>
    </row>
    <row r="27" spans="2:30" ht="18" customHeight="1">
      <c r="B27" s="17" t="s">
        <v>44</v>
      </c>
      <c r="C27" s="19" t="s">
        <v>20</v>
      </c>
      <c r="D27" s="19" t="s">
        <v>21</v>
      </c>
      <c r="E27" s="18">
        <v>883680</v>
      </c>
      <c r="F27" s="19"/>
      <c r="G27" s="19"/>
      <c r="H27" s="18">
        <v>883680</v>
      </c>
      <c r="I27" s="16"/>
      <c r="J27" s="13">
        <f t="shared" si="0"/>
        <v>883680</v>
      </c>
    </row>
    <row r="28" spans="2:30" ht="18" customHeight="1" thickBot="1">
      <c r="B28" s="23" t="s">
        <v>45</v>
      </c>
      <c r="C28" s="24"/>
      <c r="D28" s="25"/>
      <c r="E28" s="25"/>
      <c r="F28" s="25"/>
      <c r="G28" s="25">
        <f>SUM(G13:G27)</f>
        <v>5213880</v>
      </c>
      <c r="H28" s="26">
        <f>SUM(H13:H27)</f>
        <v>5936620</v>
      </c>
      <c r="I28" s="24">
        <f>SUM(I13:I27)</f>
        <v>1286770</v>
      </c>
      <c r="J28" s="27">
        <f>SUM(J13:J27)</f>
        <v>12437270</v>
      </c>
    </row>
    <row r="29" spans="2:30" ht="18" customHeight="1" thickBot="1">
      <c r="B29" s="28"/>
      <c r="C29" s="28"/>
      <c r="D29" s="28"/>
      <c r="E29" s="29"/>
      <c r="F29" s="28"/>
      <c r="G29" s="28"/>
      <c r="H29" s="28"/>
      <c r="I29" s="28"/>
      <c r="AD29" s="30"/>
    </row>
    <row r="30" spans="2:30" ht="18" customHeight="1">
      <c r="B30" s="31" t="s">
        <v>46</v>
      </c>
      <c r="C30" s="32"/>
      <c r="D30" s="32"/>
      <c r="E30" s="32"/>
      <c r="F30" s="32"/>
      <c r="G30" s="32"/>
      <c r="H30" s="32"/>
      <c r="I30" s="32"/>
      <c r="J30" s="33"/>
      <c r="AD30" s="30"/>
    </row>
    <row r="31" spans="2:30" ht="18" customHeight="1">
      <c r="B31" s="34" t="s">
        <v>47</v>
      </c>
      <c r="C31" s="28" t="s">
        <v>48</v>
      </c>
      <c r="D31" s="28"/>
      <c r="E31" s="28"/>
      <c r="F31" s="28"/>
      <c r="G31" s="28"/>
      <c r="H31" s="28"/>
      <c r="I31" s="28"/>
      <c r="J31" s="35"/>
      <c r="AD31" s="30"/>
    </row>
    <row r="32" spans="2:30" ht="18" customHeight="1">
      <c r="B32" s="36"/>
      <c r="C32" s="28"/>
      <c r="D32" s="28"/>
      <c r="E32" s="28"/>
      <c r="F32" s="28"/>
      <c r="G32" s="28"/>
      <c r="H32" s="28"/>
      <c r="I32" s="28"/>
      <c r="J32" s="35"/>
      <c r="AD32" s="30"/>
    </row>
    <row r="33" spans="2:31" ht="18" customHeight="1">
      <c r="B33" s="34"/>
      <c r="C33" s="28"/>
      <c r="D33" s="28"/>
      <c r="E33" s="28"/>
      <c r="F33" s="28"/>
      <c r="G33" s="28"/>
      <c r="H33" s="28"/>
      <c r="I33" s="28"/>
      <c r="J33" s="35"/>
      <c r="AD33" s="30"/>
    </row>
    <row r="34" spans="2:31" ht="18" customHeight="1" thickBot="1">
      <c r="B34" s="37"/>
      <c r="C34" s="38"/>
      <c r="D34" s="38"/>
      <c r="E34" s="38"/>
      <c r="F34" s="38"/>
      <c r="G34" s="38"/>
      <c r="H34" s="38"/>
      <c r="I34" s="38"/>
      <c r="J34" s="39"/>
      <c r="AD34" s="30"/>
    </row>
    <row r="35" spans="2:31" ht="18" customHeight="1">
      <c r="B35" s="28"/>
      <c r="C35" s="28"/>
      <c r="D35" s="28"/>
      <c r="E35" s="28"/>
      <c r="F35" s="28"/>
      <c r="G35" s="28"/>
      <c r="H35" s="28"/>
      <c r="I35" s="28"/>
      <c r="AD35" s="30"/>
    </row>
    <row r="36" spans="2:31" ht="18" customHeight="1">
      <c r="B36" s="28"/>
      <c r="C36" s="28"/>
      <c r="D36" s="28"/>
      <c r="E36" s="28"/>
      <c r="F36" s="28"/>
      <c r="G36" s="28"/>
      <c r="H36" s="28"/>
      <c r="I36" s="28"/>
      <c r="AD36" s="30"/>
    </row>
    <row r="37" spans="2:31" ht="18" customHeight="1">
      <c r="B37" s="28"/>
      <c r="C37" s="28"/>
      <c r="D37" s="28"/>
      <c r="E37" s="28"/>
      <c r="F37" s="28"/>
      <c r="G37" s="28"/>
      <c r="H37" s="28"/>
      <c r="I37" s="28"/>
      <c r="AD37" s="30"/>
    </row>
    <row r="38" spans="2:31" ht="18" customHeight="1">
      <c r="B38" s="48" t="s">
        <v>64</v>
      </c>
      <c r="C38" s="28"/>
      <c r="D38" s="28"/>
      <c r="E38" s="28"/>
      <c r="F38" s="28"/>
      <c r="G38" s="28"/>
      <c r="H38" s="28"/>
      <c r="I38" s="28"/>
      <c r="Q38" s="49" t="s">
        <v>67</v>
      </c>
      <c r="AD38" s="30"/>
    </row>
    <row r="39" spans="2:31" ht="18" customHeight="1" thickBot="1">
      <c r="B39" s="28"/>
      <c r="C39" s="28"/>
      <c r="D39" s="28"/>
      <c r="E39" s="28"/>
      <c r="F39" s="28"/>
      <c r="G39" s="28"/>
      <c r="H39" s="28"/>
      <c r="I39" s="28"/>
      <c r="AD39" s="30"/>
    </row>
    <row r="40" spans="2:31" ht="18" customHeight="1">
      <c r="B40" s="74" t="s">
        <v>82</v>
      </c>
      <c r="C40" s="83">
        <v>100000000</v>
      </c>
      <c r="D40" s="74"/>
      <c r="E40" s="83"/>
      <c r="F40" s="88"/>
      <c r="G40" s="88"/>
      <c r="H40" s="88"/>
      <c r="I40" s="88"/>
      <c r="J40" s="89"/>
      <c r="Q40" s="49" t="s">
        <v>81</v>
      </c>
      <c r="AD40" s="30"/>
    </row>
    <row r="41" spans="2:31" ht="18" customHeight="1">
      <c r="B41" s="75"/>
      <c r="C41" s="84"/>
      <c r="D41" s="75"/>
      <c r="E41" s="84"/>
      <c r="F41" s="90"/>
      <c r="G41" s="90"/>
      <c r="H41" s="90"/>
      <c r="I41" s="90"/>
      <c r="J41" s="91"/>
      <c r="Q41" s="49" t="s">
        <v>68</v>
      </c>
      <c r="AD41" s="30"/>
    </row>
    <row r="42" spans="2:31" ht="18" customHeight="1">
      <c r="B42" s="75" t="s">
        <v>65</v>
      </c>
      <c r="C42" s="84">
        <v>12437270</v>
      </c>
      <c r="D42" s="75"/>
      <c r="E42" s="84"/>
      <c r="F42" s="90"/>
      <c r="G42" s="90"/>
      <c r="H42" s="90"/>
      <c r="I42" s="90"/>
      <c r="J42" s="91"/>
      <c r="Q42" s="49" t="s">
        <v>69</v>
      </c>
      <c r="AD42" s="30"/>
    </row>
    <row r="43" spans="2:31" ht="18" customHeight="1">
      <c r="B43" s="75"/>
      <c r="C43" s="84"/>
      <c r="D43" s="75"/>
      <c r="E43" s="84"/>
      <c r="F43" s="90"/>
      <c r="G43" s="90"/>
      <c r="H43" s="90"/>
      <c r="I43" s="90"/>
      <c r="J43" s="91"/>
      <c r="AD43" s="30"/>
    </row>
    <row r="44" spans="2:31" ht="18" customHeight="1">
      <c r="B44" s="75" t="s">
        <v>83</v>
      </c>
      <c r="C44" s="84">
        <v>50000000</v>
      </c>
      <c r="D44" s="75"/>
      <c r="E44" s="84"/>
      <c r="F44" s="90"/>
      <c r="G44" s="90"/>
      <c r="H44" s="90"/>
      <c r="I44" s="90"/>
      <c r="J44" s="91"/>
      <c r="Q44" s="49" t="s">
        <v>70</v>
      </c>
      <c r="AD44" s="30"/>
    </row>
    <row r="45" spans="2:31" ht="18" customHeight="1">
      <c r="B45" s="75"/>
      <c r="C45" s="84"/>
      <c r="D45" s="75"/>
      <c r="E45" s="84"/>
      <c r="F45" s="90"/>
      <c r="G45" s="90"/>
      <c r="H45" s="90"/>
      <c r="I45" s="90"/>
      <c r="J45" s="91"/>
      <c r="R45" s="50" t="s">
        <v>76</v>
      </c>
      <c r="S45" s="50" t="s">
        <v>71</v>
      </c>
      <c r="T45" s="50" t="s">
        <v>72</v>
      </c>
      <c r="U45" s="50" t="s">
        <v>73</v>
      </c>
      <c r="V45" s="50" t="s">
        <v>74</v>
      </c>
      <c r="W45" s="50"/>
      <c r="X45" s="51" t="s">
        <v>78</v>
      </c>
      <c r="AD45" s="20"/>
      <c r="AE45" s="30"/>
    </row>
    <row r="46" spans="2:31" ht="18" customHeight="1">
      <c r="B46" s="85" t="s">
        <v>66</v>
      </c>
      <c r="C46" s="84"/>
      <c r="D46" s="85"/>
      <c r="E46" s="84"/>
      <c r="F46" s="90"/>
      <c r="G46" s="90"/>
      <c r="H46" s="90"/>
      <c r="I46" s="90"/>
      <c r="J46" s="91"/>
      <c r="Q46" s="49" t="s">
        <v>75</v>
      </c>
      <c r="R46" s="50">
        <v>100</v>
      </c>
      <c r="S46" s="50">
        <v>10</v>
      </c>
      <c r="T46" s="50">
        <v>5</v>
      </c>
      <c r="U46" s="50">
        <v>5</v>
      </c>
      <c r="V46" s="50">
        <v>80</v>
      </c>
      <c r="W46" s="50"/>
      <c r="X46" s="51">
        <f>+SUM(S46:V46)</f>
        <v>100</v>
      </c>
      <c r="AD46" s="20"/>
      <c r="AE46" s="30"/>
    </row>
    <row r="47" spans="2:31" ht="18" customHeight="1">
      <c r="B47" s="75"/>
      <c r="C47" s="84"/>
      <c r="D47" s="75"/>
      <c r="E47" s="84"/>
      <c r="F47" s="90"/>
      <c r="G47" s="90"/>
      <c r="H47" s="90"/>
      <c r="I47" s="90"/>
      <c r="J47" s="91"/>
      <c r="R47" s="50" t="s">
        <v>76</v>
      </c>
      <c r="S47" s="50" t="s">
        <v>71</v>
      </c>
      <c r="T47" s="50" t="s">
        <v>72</v>
      </c>
      <c r="U47" s="50" t="s">
        <v>73</v>
      </c>
      <c r="V47" s="50" t="s">
        <v>74</v>
      </c>
      <c r="W47" s="50" t="s">
        <v>80</v>
      </c>
      <c r="X47" s="51" t="s">
        <v>78</v>
      </c>
      <c r="AD47" s="20"/>
      <c r="AE47" s="30"/>
    </row>
    <row r="48" spans="2:31" ht="18" customHeight="1">
      <c r="B48" s="75"/>
      <c r="C48" s="84"/>
      <c r="D48" s="75"/>
      <c r="E48" s="84"/>
      <c r="F48" s="90"/>
      <c r="G48" s="90"/>
      <c r="H48" s="90"/>
      <c r="I48" s="90"/>
      <c r="J48" s="91"/>
      <c r="Q48" s="49" t="s">
        <v>77</v>
      </c>
      <c r="R48" s="50">
        <v>50</v>
      </c>
      <c r="S48" s="50">
        <v>5</v>
      </c>
      <c r="T48" s="50">
        <v>5</v>
      </c>
      <c r="U48" s="50">
        <v>5</v>
      </c>
      <c r="V48" s="50">
        <v>30</v>
      </c>
      <c r="W48" s="50">
        <v>5</v>
      </c>
      <c r="X48" s="51">
        <f>+SUM(S48:V48)</f>
        <v>45</v>
      </c>
      <c r="AD48" s="20"/>
      <c r="AE48" s="30"/>
    </row>
    <row r="49" spans="2:30" ht="18" customHeight="1">
      <c r="B49" s="75"/>
      <c r="C49" s="84"/>
      <c r="D49" s="75"/>
      <c r="E49" s="84"/>
      <c r="F49" s="90"/>
      <c r="G49" s="90"/>
      <c r="H49" s="90"/>
      <c r="I49" s="90"/>
      <c r="J49" s="91"/>
      <c r="AD49" s="30"/>
    </row>
    <row r="50" spans="2:30" ht="18" customHeight="1">
      <c r="B50" s="75"/>
      <c r="C50" s="84"/>
      <c r="D50" s="75"/>
      <c r="E50" s="84"/>
      <c r="F50" s="90"/>
      <c r="G50" s="90"/>
      <c r="H50" s="90"/>
      <c r="I50" s="90"/>
      <c r="J50" s="91"/>
      <c r="AD50" s="30"/>
    </row>
    <row r="51" spans="2:30" ht="18" customHeight="1">
      <c r="B51" s="75"/>
      <c r="C51" s="84"/>
      <c r="D51" s="75"/>
      <c r="E51" s="84"/>
      <c r="F51" s="90"/>
      <c r="G51" s="90"/>
      <c r="H51" s="90"/>
      <c r="I51" s="90"/>
      <c r="J51" s="91"/>
      <c r="AD51" s="30"/>
    </row>
    <row r="52" spans="2:30" ht="18" customHeight="1" thickBot="1">
      <c r="B52" s="86"/>
      <c r="C52" s="87"/>
      <c r="D52" s="86"/>
      <c r="E52" s="87"/>
      <c r="F52" s="92"/>
      <c r="G52" s="92"/>
      <c r="H52" s="92"/>
      <c r="I52" s="92"/>
      <c r="J52" s="93"/>
      <c r="AD52" s="30"/>
    </row>
    <row r="53" spans="2:30" ht="18" customHeight="1">
      <c r="B53" s="28"/>
      <c r="C53" s="28"/>
      <c r="D53" s="28"/>
      <c r="E53" s="28"/>
      <c r="F53" s="28"/>
      <c r="G53" s="28"/>
      <c r="H53" s="28"/>
      <c r="I53" s="28"/>
      <c r="AD53" s="30"/>
    </row>
    <row r="54" spans="2:30" ht="18" customHeight="1">
      <c r="B54" s="28"/>
      <c r="C54" s="28"/>
      <c r="D54" s="28"/>
      <c r="E54" s="28"/>
      <c r="F54" s="28"/>
      <c r="G54" s="28"/>
      <c r="H54" s="28"/>
      <c r="I54" s="28"/>
      <c r="AD54" s="30"/>
    </row>
    <row r="55" spans="2:30" ht="18" customHeight="1">
      <c r="B55" s="28"/>
      <c r="C55" s="28"/>
      <c r="D55" s="28"/>
      <c r="E55" s="28"/>
      <c r="F55" s="28"/>
      <c r="G55" s="28"/>
      <c r="H55" s="28"/>
      <c r="I55" s="28"/>
      <c r="AD55" s="30"/>
    </row>
    <row r="56" spans="2:30" ht="18" customHeight="1">
      <c r="B56" s="28"/>
      <c r="C56" s="28"/>
      <c r="D56" s="28"/>
      <c r="E56" s="28"/>
      <c r="F56" s="28"/>
      <c r="G56" s="28"/>
      <c r="H56" s="28"/>
      <c r="I56" s="28"/>
      <c r="AD56" s="30"/>
    </row>
    <row r="57" spans="2:30" ht="18" customHeight="1" thickBot="1">
      <c r="B57" s="7" t="s">
        <v>63</v>
      </c>
      <c r="C57" s="7"/>
      <c r="D57" s="1"/>
      <c r="E57" s="1"/>
      <c r="F57" s="1"/>
      <c r="G57" s="1"/>
      <c r="H57" s="1"/>
      <c r="I57" s="1"/>
      <c r="AD57" s="30"/>
    </row>
    <row r="58" spans="2:30" ht="18" customHeight="1">
      <c r="B58" s="66" t="s">
        <v>9</v>
      </c>
      <c r="C58" s="68" t="s">
        <v>10</v>
      </c>
      <c r="D58" s="68" t="s">
        <v>11</v>
      </c>
      <c r="E58" s="68" t="s">
        <v>49</v>
      </c>
      <c r="F58" s="70" t="s">
        <v>13</v>
      </c>
      <c r="G58" s="71"/>
      <c r="H58" s="71"/>
      <c r="I58" s="71"/>
      <c r="J58" s="72" t="s">
        <v>50</v>
      </c>
      <c r="AD58" s="30"/>
    </row>
    <row r="59" spans="2:30" ht="18" customHeight="1">
      <c r="B59" s="67"/>
      <c r="C59" s="69"/>
      <c r="D59" s="69"/>
      <c r="E59" s="69"/>
      <c r="F59" s="40" t="s">
        <v>15</v>
      </c>
      <c r="G59" s="40" t="s">
        <v>16</v>
      </c>
      <c r="H59" s="40" t="s">
        <v>17</v>
      </c>
      <c r="I59" s="9" t="s">
        <v>18</v>
      </c>
      <c r="J59" s="73"/>
      <c r="AD59" s="30"/>
    </row>
    <row r="60" spans="2:30" ht="18" customHeight="1">
      <c r="B60" s="41" t="s">
        <v>51</v>
      </c>
      <c r="C60" s="11" t="s">
        <v>30</v>
      </c>
      <c r="D60" s="11" t="s">
        <v>52</v>
      </c>
      <c r="E60" s="11">
        <v>9150</v>
      </c>
      <c r="F60" s="11" t="s">
        <v>26</v>
      </c>
      <c r="G60" s="11">
        <v>9150</v>
      </c>
      <c r="H60" s="11"/>
      <c r="I60" s="11"/>
      <c r="J60" s="42">
        <f>G60+H60+I60</f>
        <v>9150</v>
      </c>
      <c r="AD60" s="30"/>
    </row>
    <row r="61" spans="2:30" ht="18" customHeight="1">
      <c r="B61" s="43" t="s">
        <v>53</v>
      </c>
      <c r="C61" s="19" t="s">
        <v>30</v>
      </c>
      <c r="D61" s="19" t="s">
        <v>54</v>
      </c>
      <c r="E61" s="19">
        <v>54000</v>
      </c>
      <c r="F61" s="19" t="s">
        <v>55</v>
      </c>
      <c r="G61" s="19">
        <v>54000</v>
      </c>
      <c r="H61" s="19"/>
      <c r="I61" s="19"/>
      <c r="J61" s="42">
        <f t="shared" ref="J61:J66" si="1">G61+H61+I61</f>
        <v>54000</v>
      </c>
      <c r="Q61" s="49" t="s">
        <v>67</v>
      </c>
      <c r="AD61" s="30"/>
    </row>
    <row r="62" spans="2:30" ht="18" customHeight="1">
      <c r="B62" s="80" t="s">
        <v>56</v>
      </c>
      <c r="C62" s="19" t="s">
        <v>20</v>
      </c>
      <c r="D62" s="19" t="s">
        <v>57</v>
      </c>
      <c r="E62" s="19">
        <v>253600</v>
      </c>
      <c r="F62" s="19"/>
      <c r="G62" s="19"/>
      <c r="H62" s="19">
        <v>253600</v>
      </c>
      <c r="I62" s="19"/>
      <c r="J62" s="42">
        <f t="shared" si="1"/>
        <v>253600</v>
      </c>
      <c r="Q62" s="49" t="s">
        <v>79</v>
      </c>
      <c r="AD62" s="30"/>
    </row>
    <row r="63" spans="2:30" ht="18" customHeight="1">
      <c r="B63" s="81"/>
      <c r="C63" s="19" t="s">
        <v>20</v>
      </c>
      <c r="D63" s="19" t="s">
        <v>58</v>
      </c>
      <c r="E63" s="19">
        <v>488380</v>
      </c>
      <c r="F63" s="19"/>
      <c r="G63" s="19"/>
      <c r="H63" s="19">
        <v>488380</v>
      </c>
      <c r="I63" s="19"/>
      <c r="J63" s="42">
        <f t="shared" si="1"/>
        <v>488380</v>
      </c>
      <c r="AD63" s="30"/>
    </row>
    <row r="64" spans="2:30" ht="18" customHeight="1">
      <c r="B64" s="43" t="s">
        <v>59</v>
      </c>
      <c r="C64" s="19" t="s">
        <v>30</v>
      </c>
      <c r="D64" s="19" t="s">
        <v>52</v>
      </c>
      <c r="E64" s="44">
        <v>22500</v>
      </c>
      <c r="F64" s="19" t="s">
        <v>26</v>
      </c>
      <c r="G64" s="44">
        <v>22500</v>
      </c>
      <c r="H64" s="19"/>
      <c r="I64" s="19"/>
      <c r="J64" s="42">
        <f t="shared" si="1"/>
        <v>22500</v>
      </c>
      <c r="AD64" s="30"/>
    </row>
    <row r="65" spans="2:31" ht="18" customHeight="1">
      <c r="B65" s="43" t="s">
        <v>60</v>
      </c>
      <c r="C65" s="19" t="s">
        <v>30</v>
      </c>
      <c r="D65" s="19" t="s">
        <v>61</v>
      </c>
      <c r="E65" s="44">
        <v>15000</v>
      </c>
      <c r="F65" s="19"/>
      <c r="G65" s="44"/>
      <c r="H65" s="19">
        <v>15000</v>
      </c>
      <c r="I65" s="19"/>
      <c r="J65" s="42">
        <f t="shared" si="1"/>
        <v>15000</v>
      </c>
      <c r="AD65" s="30"/>
    </row>
    <row r="66" spans="2:31" ht="18" customHeight="1">
      <c r="B66" s="45" t="s">
        <v>62</v>
      </c>
      <c r="C66" s="46" t="s">
        <v>30</v>
      </c>
      <c r="D66" s="46" t="s">
        <v>61</v>
      </c>
      <c r="E66" s="46">
        <v>15000</v>
      </c>
      <c r="F66" s="46"/>
      <c r="G66" s="46"/>
      <c r="H66" s="46">
        <v>15000</v>
      </c>
      <c r="I66" s="46"/>
      <c r="J66" s="42">
        <f t="shared" si="1"/>
        <v>15000</v>
      </c>
      <c r="AD66" s="30"/>
    </row>
    <row r="67" spans="2:31" ht="18" customHeight="1" thickBot="1">
      <c r="B67" s="23" t="s">
        <v>45</v>
      </c>
      <c r="C67" s="24"/>
      <c r="D67" s="25"/>
      <c r="E67" s="25"/>
      <c r="F67" s="25"/>
      <c r="G67" s="25">
        <f>SUM(G60:G66)</f>
        <v>85650</v>
      </c>
      <c r="H67" s="25">
        <f>SUM(H60:H66)</f>
        <v>771980</v>
      </c>
      <c r="I67" s="25">
        <f>SUM(I60:I66)</f>
        <v>0</v>
      </c>
      <c r="J67" s="25">
        <f>SUM(J60:J66)</f>
        <v>857630</v>
      </c>
      <c r="K67" s="47"/>
      <c r="AD67" s="30"/>
    </row>
    <row r="68" spans="2:31" ht="18" customHeight="1">
      <c r="B68" s="28"/>
      <c r="C68" s="28"/>
      <c r="D68" s="28"/>
      <c r="E68" s="28"/>
      <c r="F68" s="28"/>
      <c r="G68" s="28"/>
      <c r="H68" s="28"/>
      <c r="I68" s="28"/>
      <c r="AD68" s="30"/>
    </row>
    <row r="69" spans="2:31" ht="18" customHeight="1">
      <c r="B69" s="28"/>
      <c r="C69" s="28"/>
      <c r="D69" s="28"/>
      <c r="E69" s="28"/>
      <c r="F69" s="28"/>
      <c r="G69" s="28"/>
      <c r="H69" s="28"/>
      <c r="I69" s="28"/>
      <c r="AD69" s="30"/>
    </row>
    <row r="70" spans="2:31" ht="18" customHeight="1">
      <c r="B70" s="28"/>
      <c r="C70" s="28"/>
      <c r="D70" s="28"/>
      <c r="E70" s="28"/>
      <c r="F70" s="28"/>
      <c r="G70" s="28"/>
      <c r="H70" s="28"/>
      <c r="I70" s="28"/>
      <c r="AD70" s="30"/>
    </row>
    <row r="71" spans="2:31">
      <c r="B71" s="1"/>
      <c r="C71" s="1"/>
      <c r="D71" s="1"/>
      <c r="E71" s="1"/>
      <c r="F71" s="1"/>
      <c r="G71" s="1"/>
      <c r="H71" s="1"/>
      <c r="I71" s="1"/>
    </row>
    <row r="72" spans="2:31" ht="24" customHeight="1">
      <c r="B72" s="1"/>
      <c r="C72" s="1"/>
      <c r="D72" s="1"/>
      <c r="E72" s="1"/>
      <c r="F72" s="1"/>
      <c r="G72" s="1"/>
      <c r="H72" s="1"/>
      <c r="I72" s="1"/>
    </row>
    <row r="73" spans="2:31" ht="24" customHeight="1">
      <c r="B73" s="1"/>
      <c r="C73" s="1"/>
      <c r="D73" s="1"/>
      <c r="E73" s="1"/>
      <c r="F73" s="1"/>
      <c r="G73" s="1"/>
      <c r="H73" s="1"/>
      <c r="I73" s="1"/>
    </row>
    <row r="74" spans="2:31" s="2" customFormat="1">
      <c r="B74" s="1"/>
      <c r="C74" s="1"/>
      <c r="D74" s="1"/>
      <c r="E74" s="1"/>
      <c r="F74" s="1"/>
      <c r="G74" s="1"/>
      <c r="H74" s="1"/>
      <c r="I74" s="1"/>
      <c r="K74" s="3"/>
      <c r="L74" s="3"/>
      <c r="M74" s="3"/>
      <c r="N74" s="3"/>
      <c r="O74" s="3"/>
      <c r="P74" s="3"/>
      <c r="Q74" s="49"/>
      <c r="R74" s="50"/>
      <c r="S74" s="50"/>
      <c r="T74" s="50"/>
      <c r="U74" s="50"/>
      <c r="V74" s="50"/>
      <c r="W74" s="51"/>
      <c r="X74" s="51"/>
      <c r="Y74" s="20"/>
      <c r="Z74" s="20"/>
      <c r="AA74" s="20"/>
      <c r="AB74" s="20"/>
      <c r="AC74" s="20"/>
      <c r="AD74" s="21"/>
      <c r="AE74" s="3"/>
    </row>
    <row r="75" spans="2:31" s="2" customFormat="1">
      <c r="B75" s="1"/>
      <c r="C75" s="1"/>
      <c r="D75" s="1"/>
      <c r="E75" s="1"/>
      <c r="F75" s="1"/>
      <c r="G75" s="1"/>
      <c r="H75" s="1"/>
      <c r="I75" s="1"/>
      <c r="K75" s="3"/>
      <c r="L75" s="3"/>
      <c r="M75" s="3"/>
      <c r="N75" s="3"/>
      <c r="O75" s="3"/>
      <c r="P75" s="3"/>
      <c r="Q75" s="49"/>
      <c r="R75" s="50"/>
      <c r="S75" s="50"/>
      <c r="T75" s="50"/>
      <c r="U75" s="50"/>
      <c r="V75" s="50"/>
      <c r="W75" s="51"/>
      <c r="X75" s="51"/>
      <c r="Y75" s="20"/>
      <c r="Z75" s="20"/>
      <c r="AA75" s="20"/>
      <c r="AB75" s="20"/>
      <c r="AC75" s="20"/>
      <c r="AD75" s="21"/>
      <c r="AE75" s="3"/>
    </row>
    <row r="76" spans="2:31" s="2" customFormat="1">
      <c r="B76" s="82"/>
      <c r="C76" s="82"/>
      <c r="D76" s="82"/>
      <c r="E76" s="82"/>
      <c r="F76" s="82"/>
      <c r="G76" s="82"/>
      <c r="H76" s="82"/>
      <c r="I76" s="82"/>
      <c r="K76" s="3"/>
      <c r="L76" s="3"/>
      <c r="M76" s="3"/>
      <c r="N76" s="3"/>
      <c r="O76" s="3"/>
      <c r="P76" s="3"/>
      <c r="Q76" s="49"/>
      <c r="R76" s="50"/>
      <c r="S76" s="50"/>
      <c r="T76" s="50"/>
      <c r="U76" s="50"/>
      <c r="V76" s="50"/>
      <c r="W76" s="51"/>
      <c r="X76" s="51"/>
      <c r="Y76" s="20"/>
      <c r="Z76" s="20"/>
      <c r="AA76" s="20"/>
      <c r="AB76" s="20"/>
      <c r="AC76" s="20"/>
      <c r="AD76" s="21"/>
      <c r="AE76" s="3"/>
    </row>
    <row r="77" spans="2:31" s="2" customFormat="1">
      <c r="B77" s="1"/>
      <c r="C77" s="1"/>
      <c r="D77" s="1"/>
      <c r="E77" s="1"/>
      <c r="F77" s="1"/>
      <c r="G77" s="1"/>
      <c r="H77" s="1"/>
      <c r="I77" s="1"/>
      <c r="K77" s="3"/>
      <c r="L77" s="3"/>
      <c r="M77" s="3"/>
      <c r="N77" s="3"/>
      <c r="O77" s="3"/>
      <c r="P77" s="3"/>
      <c r="Q77" s="49"/>
      <c r="R77" s="50"/>
      <c r="S77" s="50"/>
      <c r="T77" s="50"/>
      <c r="U77" s="50"/>
      <c r="V77" s="50"/>
      <c r="W77" s="51"/>
      <c r="X77" s="51"/>
      <c r="Y77" s="20"/>
      <c r="Z77" s="20"/>
      <c r="AA77" s="20"/>
      <c r="AB77" s="20"/>
      <c r="AC77" s="20"/>
      <c r="AD77" s="21"/>
      <c r="AE77" s="3"/>
    </row>
    <row r="78" spans="2:31" s="2" customFormat="1">
      <c r="B78" s="1"/>
      <c r="C78" s="1"/>
      <c r="D78" s="1"/>
      <c r="E78" s="1"/>
      <c r="F78" s="1"/>
      <c r="G78" s="1"/>
      <c r="H78" s="1"/>
      <c r="I78" s="1"/>
      <c r="K78" s="3"/>
      <c r="L78" s="3"/>
      <c r="M78" s="3"/>
      <c r="N78" s="3"/>
      <c r="O78" s="3"/>
      <c r="P78" s="3"/>
      <c r="Q78" s="49"/>
      <c r="R78" s="50"/>
      <c r="S78" s="50"/>
      <c r="T78" s="50"/>
      <c r="U78" s="50"/>
      <c r="V78" s="50"/>
      <c r="W78" s="51"/>
      <c r="X78" s="51"/>
      <c r="Y78" s="20"/>
      <c r="Z78" s="20"/>
      <c r="AA78" s="20"/>
      <c r="AB78" s="20"/>
      <c r="AC78" s="20"/>
      <c r="AD78" s="21"/>
      <c r="AE78" s="3"/>
    </row>
    <row r="79" spans="2:31" s="2" customFormat="1">
      <c r="B79" s="1"/>
      <c r="C79" s="1"/>
      <c r="D79" s="1"/>
      <c r="E79" s="1"/>
      <c r="F79" s="1"/>
      <c r="G79" s="1"/>
      <c r="H79" s="1"/>
      <c r="I79" s="1"/>
      <c r="K79" s="3"/>
      <c r="L79" s="3"/>
      <c r="M79" s="3"/>
      <c r="N79" s="3"/>
      <c r="O79" s="3"/>
      <c r="P79" s="3"/>
      <c r="Q79" s="49"/>
      <c r="R79" s="50"/>
      <c r="S79" s="50"/>
      <c r="T79" s="50"/>
      <c r="U79" s="50"/>
      <c r="V79" s="50"/>
      <c r="W79" s="51"/>
      <c r="X79" s="51"/>
      <c r="Y79" s="20"/>
      <c r="Z79" s="20"/>
      <c r="AA79" s="20"/>
      <c r="AB79" s="20"/>
      <c r="AC79" s="20"/>
      <c r="AD79" s="21"/>
      <c r="AE79" s="3"/>
    </row>
  </sheetData>
  <mergeCells count="33">
    <mergeCell ref="D42:D43"/>
    <mergeCell ref="E42:E43"/>
    <mergeCell ref="D44:D45"/>
    <mergeCell ref="E44:E45"/>
    <mergeCell ref="D46:E52"/>
    <mergeCell ref="B62:B63"/>
    <mergeCell ref="B76:I76"/>
    <mergeCell ref="B40:B41"/>
    <mergeCell ref="C40:C41"/>
    <mergeCell ref="B42:B43"/>
    <mergeCell ref="C42:C43"/>
    <mergeCell ref="B46:C52"/>
    <mergeCell ref="B44:B45"/>
    <mergeCell ref="C44:C45"/>
    <mergeCell ref="J11:J12"/>
    <mergeCell ref="B58:B59"/>
    <mergeCell ref="C58:C59"/>
    <mergeCell ref="D58:D59"/>
    <mergeCell ref="E58:E59"/>
    <mergeCell ref="F58:I58"/>
    <mergeCell ref="J58:J59"/>
    <mergeCell ref="B11:B12"/>
    <mergeCell ref="C11:C12"/>
    <mergeCell ref="D11:D12"/>
    <mergeCell ref="E11:E12"/>
    <mergeCell ref="F11:I11"/>
    <mergeCell ref="D40:D41"/>
    <mergeCell ref="E40:E41"/>
    <mergeCell ref="G2:G5"/>
    <mergeCell ref="H3:H5"/>
    <mergeCell ref="I3:I5"/>
    <mergeCell ref="J3:J5"/>
    <mergeCell ref="B7:J7"/>
  </mergeCells>
  <phoneticPr fontId="3" type="noConversion"/>
  <printOptions horizontalCentered="1"/>
  <pageMargins left="7.874015748031496E-2" right="7.874015748031496E-2" top="0.74803149606299213" bottom="0.74803149606299213" header="0.31496062992125984" footer="0.31496062992125984"/>
  <pageSetup paperSize="9" scale="47" fitToWidth="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10</vt:lpstr>
      <vt:lpstr>'10'!Print_Area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official.rodneyim@gmail.com</dc:creator>
  <cp:lastModifiedBy>barun</cp:lastModifiedBy>
  <dcterms:created xsi:type="dcterms:W3CDTF">2025-12-29T05:25:13Z</dcterms:created>
  <dcterms:modified xsi:type="dcterms:W3CDTF">2026-01-02T08:43:35Z</dcterms:modified>
</cp:coreProperties>
</file>